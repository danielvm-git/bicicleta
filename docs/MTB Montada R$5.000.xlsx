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me/Sites/bicicleta/"/>
    </mc:Choice>
  </mc:AlternateContent>
  <xr:revisionPtr revIDLastSave="0" documentId="13_ncr:1_{9B1EF727-6A4C-A642-833B-45F033F88218}" xr6:coauthVersionLast="47" xr6:coauthVersionMax="47" xr10:uidLastSave="{00000000-0000-0000-0000-000000000000}"/>
  <bookViews>
    <workbookView xWindow="0" yWindow="600" windowWidth="19420" windowHeight="1558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15" i="1"/>
  <c r="D25" i="1" s="1"/>
  <c r="D12" i="1"/>
  <c r="D7" i="1"/>
</calcChain>
</file>

<file path=xl/sharedStrings.xml><?xml version="1.0" encoding="utf-8"?>
<sst xmlns="http://schemas.openxmlformats.org/spreadsheetml/2006/main" count="63" uniqueCount="59">
  <si>
    <t>PREÇO</t>
  </si>
  <si>
    <t>QUADRO</t>
  </si>
  <si>
    <t>SUSPENSÃO</t>
  </si>
  <si>
    <t>FREIOS</t>
  </si>
  <si>
    <t>CAMBIO D</t>
  </si>
  <si>
    <t>CASSETE</t>
  </si>
  <si>
    <t>CORRENTE</t>
  </si>
  <si>
    <t>PEDIVELA</t>
  </si>
  <si>
    <t>ARO</t>
  </si>
  <si>
    <t>CUBO</t>
  </si>
  <si>
    <t>RAIO</t>
  </si>
  <si>
    <t>PNEU</t>
  </si>
  <si>
    <t>GUIDÃO</t>
  </si>
  <si>
    <t>MESA</t>
  </si>
  <si>
    <t>CANOTE</t>
  </si>
  <si>
    <t>SELIM</t>
  </si>
  <si>
    <t>TROCADOR</t>
  </si>
  <si>
    <t>TOTAL</t>
  </si>
  <si>
    <t>CAIXA DE DIREÇÃO</t>
  </si>
  <si>
    <t>MOVIMENTO CENTRAL</t>
  </si>
  <si>
    <t>MODELO</t>
  </si>
  <si>
    <t>LINK</t>
  </si>
  <si>
    <t>DISCOS</t>
  </si>
  <si>
    <t>MANOPLA</t>
  </si>
  <si>
    <t>TUBELESS</t>
  </si>
  <si>
    <t>CAMBIO T</t>
  </si>
  <si>
    <t>PEDAL</t>
  </si>
  <si>
    <t>SHOW NEXTEP</t>
  </si>
  <si>
    <t>SHIMANO MT200</t>
  </si>
  <si>
    <t>SHIMANO RT26 160MM</t>
  </si>
  <si>
    <t>ABSOLUTE 44MM</t>
  </si>
  <si>
    <t>KIT ABSOLUTE ALUMINIO</t>
  </si>
  <si>
    <t>ABSOLUTE</t>
  </si>
  <si>
    <t>ABSOLUTE DE ESPUMA</t>
  </si>
  <si>
    <t>ABSOLUTE POWER</t>
  </si>
  <si>
    <t>https://meli.la/2yEjGF3</t>
  </si>
  <si>
    <t>https://meli.la/2i3yjYs</t>
  </si>
  <si>
    <t>https://meli.la/1xxu67H</t>
  </si>
  <si>
    <t>https://meli.la/1EBmvmA</t>
  </si>
  <si>
    <t>https://loja.proshock.com.br/suspensao-strix-air-trava-no-guidao-aro-29-tubo-over-eixo-09x100-preta/preta</t>
  </si>
  <si>
    <t>PROSHOCK STRIX</t>
  </si>
  <si>
    <t>https://tidd.ly/3Om9XtT</t>
  </si>
  <si>
    <t>DEORE M5100</t>
  </si>
  <si>
    <t>-</t>
  </si>
  <si>
    <t>MT510 34D</t>
  </si>
  <si>
    <t>SHIMANO BB52</t>
  </si>
  <si>
    <t>https://tidd.ly/4ca4spT</t>
  </si>
  <si>
    <t>KOOZER XM490 PRO</t>
  </si>
  <si>
    <t>https://tidd.ly/4ck2CTM</t>
  </si>
  <si>
    <t>https://meli.la/1Sf8C6V</t>
  </si>
  <si>
    <t>VZAN STRIKE PRO 32F</t>
  </si>
  <si>
    <t>https://meli.la/1yRX27J</t>
  </si>
  <si>
    <t>INOX RICHMANN</t>
  </si>
  <si>
    <t>https://meli.la/11z5FY3</t>
  </si>
  <si>
    <t>KIT TUBELESS ARSTOP</t>
  </si>
  <si>
    <t>https://meli.la/2oVEZyD</t>
  </si>
  <si>
    <t>CHAOYANG PHANTOM DRY E WET 2.20</t>
  </si>
  <si>
    <t>https://tidd.ly/4mdjKyS</t>
  </si>
  <si>
    <t>ZERAY 108S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</si>
</sst>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0" borderId="0" xfId="0" applyAlignment="1">
      <alignment wrapText="1"/>
    </xf>
    <xf numFmtId="44" fontId="0" fillId="3" borderId="1" xfId="1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2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idd.ly/3Om9X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5.1640625" customWidth="1"/>
    <col min="2" max="2" width="35" customWidth="1"/>
    <col min="3" max="3" width="21.5" customWidth="1"/>
    <col min="4" max="4" width="19.5" customWidth="1"/>
    <col min="5" max="5" width="3.6640625" customWidth="1"/>
    <col min="6" max="6" width="17.5" customWidth="1"/>
    <col min="7" max="7" width="3.6640625" customWidth="1"/>
    <col min="8" max="8" width="16.1640625" customWidth="1"/>
    <col min="9" max="9" width="3.6640625" customWidth="1"/>
    <col min="10" max="10" width="22.1640625" customWidth="1"/>
    <col min="11" max="11" width="3.6640625" customWidth="1"/>
  </cols>
  <sheetData>
    <row r="1" spans="1:11" ht="14.25" customHeight="1" x14ac:dyDescent="0.2">
      <c r="A1" s="1"/>
      <c r="B1" s="1" t="s">
        <v>20</v>
      </c>
      <c r="C1" s="8" t="s">
        <v>21</v>
      </c>
      <c r="D1" s="1" t="s">
        <v>0</v>
      </c>
      <c r="E1" s="5"/>
      <c r="F1" s="5"/>
      <c r="G1" s="5"/>
      <c r="H1" s="5"/>
      <c r="I1" s="5"/>
      <c r="J1" s="5"/>
      <c r="K1" s="5"/>
    </row>
    <row r="2" spans="1:11" ht="16" x14ac:dyDescent="0.2">
      <c r="A2" s="1" t="s">
        <v>1</v>
      </c>
      <c r="B2" s="3" t="s">
        <v>27</v>
      </c>
      <c r="C2" s="7" t="s">
        <v>35</v>
      </c>
      <c r="D2" s="4">
        <v>433.71</v>
      </c>
      <c r="E2" s="5"/>
      <c r="F2" s="5"/>
      <c r="G2" s="5"/>
      <c r="H2" s="5"/>
      <c r="I2" s="5"/>
      <c r="J2" s="5"/>
      <c r="K2" s="5"/>
    </row>
    <row r="3" spans="1:11" ht="16" x14ac:dyDescent="0.2">
      <c r="A3" s="1" t="s">
        <v>18</v>
      </c>
      <c r="B3" s="3" t="s">
        <v>30</v>
      </c>
      <c r="C3" s="7"/>
      <c r="D3" s="4">
        <v>0</v>
      </c>
      <c r="E3" s="5"/>
      <c r="F3" s="5"/>
      <c r="G3" s="5"/>
      <c r="H3" s="5"/>
      <c r="I3" s="5"/>
      <c r="J3" s="5"/>
      <c r="K3" s="5"/>
    </row>
    <row r="4" spans="1:11" ht="16" x14ac:dyDescent="0.2">
      <c r="A4" s="1" t="s">
        <v>2</v>
      </c>
      <c r="B4" s="3" t="s">
        <v>40</v>
      </c>
      <c r="C4" s="7" t="s">
        <v>39</v>
      </c>
      <c r="D4" s="4">
        <v>947.15</v>
      </c>
      <c r="E4" s="5"/>
      <c r="F4" s="5"/>
      <c r="G4" s="5"/>
      <c r="H4" s="5"/>
      <c r="I4" s="5"/>
      <c r="J4" s="5"/>
      <c r="K4" s="5"/>
    </row>
    <row r="5" spans="1:11" ht="16" x14ac:dyDescent="0.2">
      <c r="A5" s="1" t="s">
        <v>3</v>
      </c>
      <c r="B5" s="3" t="s">
        <v>28</v>
      </c>
      <c r="C5" s="7" t="s">
        <v>36</v>
      </c>
      <c r="D5" s="4">
        <v>278.91000000000003</v>
      </c>
      <c r="E5" s="5"/>
      <c r="F5" s="5"/>
      <c r="G5" s="5"/>
      <c r="H5" s="5"/>
      <c r="I5" s="5"/>
      <c r="J5" s="5"/>
      <c r="K5" s="5"/>
    </row>
    <row r="6" spans="1:11" ht="16" x14ac:dyDescent="0.2">
      <c r="A6" s="1" t="s">
        <v>22</v>
      </c>
      <c r="B6" s="3" t="s">
        <v>29</v>
      </c>
      <c r="C6" s="7" t="s">
        <v>37</v>
      </c>
      <c r="D6" s="4">
        <v>159</v>
      </c>
      <c r="E6" s="5"/>
      <c r="F6" s="5"/>
      <c r="G6" s="5"/>
      <c r="H6" s="5"/>
      <c r="I6" s="5"/>
      <c r="J6" s="5"/>
      <c r="K6" s="5"/>
    </row>
    <row r="7" spans="1:11" ht="16" x14ac:dyDescent="0.2">
      <c r="A7" s="1" t="s">
        <v>16</v>
      </c>
      <c r="B7" s="3" t="s">
        <v>42</v>
      </c>
      <c r="C7" s="10" t="s">
        <v>41</v>
      </c>
      <c r="D7" s="4">
        <f>541.93+368.44</f>
        <v>910.36999999999989</v>
      </c>
      <c r="E7" s="5"/>
      <c r="F7" s="5"/>
      <c r="G7" s="5"/>
      <c r="H7" s="5"/>
      <c r="I7" s="5"/>
      <c r="J7" s="5"/>
      <c r="K7" s="5"/>
    </row>
    <row r="8" spans="1:11" ht="16" x14ac:dyDescent="0.2">
      <c r="A8" s="1" t="s">
        <v>25</v>
      </c>
      <c r="B8" s="3" t="s">
        <v>42</v>
      </c>
      <c r="C8" s="7"/>
      <c r="D8" s="4">
        <v>0</v>
      </c>
      <c r="E8" s="5"/>
      <c r="F8" s="5"/>
      <c r="G8" s="5"/>
      <c r="H8" s="5"/>
      <c r="I8" s="5"/>
      <c r="J8" s="5"/>
      <c r="K8" s="5"/>
    </row>
    <row r="9" spans="1:11" ht="16" x14ac:dyDescent="0.2">
      <c r="A9" s="1" t="s">
        <v>4</v>
      </c>
      <c r="B9" s="3" t="s">
        <v>43</v>
      </c>
      <c r="C9" s="7"/>
      <c r="D9" s="4">
        <v>0</v>
      </c>
      <c r="E9" s="5"/>
      <c r="F9" s="5"/>
      <c r="G9" s="5"/>
      <c r="H9" s="5"/>
      <c r="I9" s="5"/>
      <c r="J9" s="5"/>
      <c r="K9" s="5"/>
    </row>
    <row r="10" spans="1:11" ht="16" x14ac:dyDescent="0.2">
      <c r="A10" s="1" t="s">
        <v>5</v>
      </c>
      <c r="B10" s="3" t="s">
        <v>42</v>
      </c>
      <c r="C10" s="7"/>
      <c r="D10" s="4">
        <v>0</v>
      </c>
      <c r="E10" s="5"/>
      <c r="F10" s="5"/>
      <c r="G10" s="5"/>
      <c r="H10" s="5"/>
      <c r="I10" s="5"/>
      <c r="J10" s="5"/>
      <c r="K10" s="5"/>
    </row>
    <row r="11" spans="1:11" ht="16" x14ac:dyDescent="0.2">
      <c r="A11" s="1" t="s">
        <v>6</v>
      </c>
      <c r="B11" s="3" t="s">
        <v>42</v>
      </c>
      <c r="C11" s="7"/>
      <c r="D11" s="4">
        <v>0</v>
      </c>
      <c r="E11" s="5"/>
      <c r="F11" s="5"/>
      <c r="G11" s="5"/>
      <c r="H11" s="5"/>
      <c r="I11" s="5"/>
      <c r="J11" s="5"/>
      <c r="K11" s="5"/>
    </row>
    <row r="12" spans="1:11" ht="16" x14ac:dyDescent="0.2">
      <c r="A12" s="1" t="s">
        <v>7</v>
      </c>
      <c r="B12" s="3" t="s">
        <v>44</v>
      </c>
      <c r="C12" s="7" t="s">
        <v>48</v>
      </c>
      <c r="D12" s="4">
        <f>290.63+135.31</f>
        <v>425.94</v>
      </c>
      <c r="E12" s="5"/>
      <c r="F12" s="5"/>
      <c r="G12" s="5"/>
      <c r="H12" s="5"/>
      <c r="I12" s="5"/>
      <c r="J12" s="5"/>
      <c r="K12" s="5"/>
    </row>
    <row r="13" spans="1:11" ht="32" x14ac:dyDescent="0.2">
      <c r="A13" s="1" t="s">
        <v>19</v>
      </c>
      <c r="B13" s="3" t="s">
        <v>45</v>
      </c>
      <c r="C13" s="7"/>
      <c r="D13" s="4">
        <v>0</v>
      </c>
      <c r="E13" s="5"/>
      <c r="F13" s="5"/>
      <c r="G13" s="5"/>
      <c r="H13" s="5"/>
      <c r="I13" s="5"/>
      <c r="J13" s="5"/>
      <c r="K13" s="5"/>
    </row>
    <row r="14" spans="1:11" ht="16" x14ac:dyDescent="0.2">
      <c r="A14" s="1" t="s">
        <v>8</v>
      </c>
      <c r="B14" s="3" t="s">
        <v>50</v>
      </c>
      <c r="C14" s="7" t="s">
        <v>49</v>
      </c>
      <c r="D14" s="4">
        <v>177.74</v>
      </c>
      <c r="E14" s="5"/>
      <c r="F14" s="5"/>
      <c r="G14" s="5"/>
      <c r="H14" s="5"/>
      <c r="I14" s="5"/>
      <c r="J14" s="5"/>
      <c r="K14" s="5"/>
    </row>
    <row r="15" spans="1:11" ht="16" x14ac:dyDescent="0.2">
      <c r="A15" s="1" t="s">
        <v>9</v>
      </c>
      <c r="B15" s="3" t="s">
        <v>47</v>
      </c>
      <c r="C15" s="7" t="s">
        <v>46</v>
      </c>
      <c r="D15" s="4">
        <f>333.8+175.35</f>
        <v>509.15</v>
      </c>
      <c r="E15" s="5"/>
      <c r="F15" s="5"/>
      <c r="G15" s="5"/>
      <c r="H15" s="5"/>
      <c r="I15" s="5"/>
      <c r="J15" s="5"/>
      <c r="K15" s="5"/>
    </row>
    <row r="16" spans="1:11" ht="16" x14ac:dyDescent="0.2">
      <c r="A16" s="1" t="s">
        <v>10</v>
      </c>
      <c r="B16" s="3" t="s">
        <v>52</v>
      </c>
      <c r="C16" s="7" t="s">
        <v>51</v>
      </c>
      <c r="D16" s="4">
        <v>142.79</v>
      </c>
      <c r="E16" s="5"/>
      <c r="F16" s="5"/>
      <c r="G16" s="5"/>
      <c r="H16" s="5"/>
      <c r="I16" s="5"/>
      <c r="J16" s="5"/>
      <c r="K16" s="5"/>
    </row>
    <row r="17" spans="1:11" ht="16" x14ac:dyDescent="0.2">
      <c r="A17" s="1" t="s">
        <v>11</v>
      </c>
      <c r="B17" s="3" t="s">
        <v>56</v>
      </c>
      <c r="C17" s="7" t="s">
        <v>55</v>
      </c>
      <c r="D17" s="4">
        <v>273</v>
      </c>
      <c r="E17" s="5"/>
      <c r="F17" s="5"/>
      <c r="G17" s="5"/>
      <c r="H17" s="5"/>
      <c r="I17" s="5"/>
      <c r="J17" s="5"/>
      <c r="K17" s="5"/>
    </row>
    <row r="18" spans="1:11" ht="16" x14ac:dyDescent="0.2">
      <c r="A18" s="1" t="s">
        <v>24</v>
      </c>
      <c r="B18" s="3" t="s">
        <v>54</v>
      </c>
      <c r="C18" s="7" t="s">
        <v>53</v>
      </c>
      <c r="D18" s="4">
        <v>130.21</v>
      </c>
      <c r="E18" s="5"/>
      <c r="F18" s="5"/>
      <c r="G18" s="5"/>
      <c r="H18" s="5"/>
      <c r="I18" s="5"/>
      <c r="J18" s="5"/>
      <c r="K18" s="5"/>
    </row>
    <row r="19" spans="1:11" ht="16" x14ac:dyDescent="0.2">
      <c r="A19" s="1" t="s">
        <v>12</v>
      </c>
      <c r="B19" s="3" t="s">
        <v>31</v>
      </c>
      <c r="C19" s="7" t="s">
        <v>38</v>
      </c>
      <c r="D19" s="4">
        <v>178.06</v>
      </c>
      <c r="E19" s="5"/>
      <c r="F19" s="5"/>
      <c r="G19" s="5"/>
      <c r="H19" s="5"/>
      <c r="I19" s="5"/>
      <c r="J19" s="5"/>
      <c r="K19" s="5"/>
    </row>
    <row r="20" spans="1:11" ht="16" x14ac:dyDescent="0.2">
      <c r="A20" s="1" t="s">
        <v>13</v>
      </c>
      <c r="B20" s="3" t="s">
        <v>32</v>
      </c>
      <c r="C20" s="10"/>
      <c r="D20" s="4">
        <v>0</v>
      </c>
      <c r="E20" s="5"/>
      <c r="F20" s="5"/>
      <c r="G20" s="5"/>
      <c r="H20" s="5"/>
      <c r="I20" s="5"/>
      <c r="J20" s="5"/>
      <c r="K20" s="5"/>
    </row>
    <row r="21" spans="1:11" ht="16" x14ac:dyDescent="0.2">
      <c r="A21" s="1" t="s">
        <v>23</v>
      </c>
      <c r="B21" s="3" t="s">
        <v>33</v>
      </c>
      <c r="C21" s="7"/>
      <c r="D21" s="4">
        <v>0</v>
      </c>
      <c r="E21" s="5"/>
      <c r="F21" s="5"/>
      <c r="G21" s="5"/>
      <c r="H21" s="5"/>
      <c r="I21" s="5"/>
      <c r="J21" s="5"/>
      <c r="K21" s="5"/>
    </row>
    <row r="22" spans="1:11" ht="16" x14ac:dyDescent="0.2">
      <c r="A22" s="1" t="s">
        <v>14</v>
      </c>
      <c r="B22" s="3" t="s">
        <v>32</v>
      </c>
      <c r="C22" s="7"/>
      <c r="D22" s="4">
        <v>0</v>
      </c>
      <c r="E22" s="5"/>
      <c r="F22" s="5"/>
      <c r="G22" s="5"/>
      <c r="H22" s="5"/>
      <c r="I22" s="5"/>
      <c r="J22" s="5"/>
      <c r="K22" s="5"/>
    </row>
    <row r="23" spans="1:11" ht="16" x14ac:dyDescent="0.2">
      <c r="A23" s="1" t="s">
        <v>15</v>
      </c>
      <c r="B23" s="3" t="s">
        <v>34</v>
      </c>
      <c r="C23" s="7"/>
      <c r="D23" s="4">
        <v>0</v>
      </c>
      <c r="E23" s="5"/>
      <c r="F23" s="5"/>
      <c r="G23" s="5"/>
      <c r="H23" s="5"/>
      <c r="I23" s="5"/>
      <c r="J23" s="5"/>
      <c r="K23" s="5"/>
    </row>
    <row r="24" spans="1:11" ht="16" x14ac:dyDescent="0.2">
      <c r="A24" s="1" t="s">
        <v>26</v>
      </c>
      <c r="B24" s="3" t="s">
        <v>58</v>
      </c>
      <c r="C24" s="7" t="s">
        <v>57</v>
      </c>
      <c r="D24" s="4">
        <f>169.59+75.64</f>
        <v>245.23000000000002</v>
      </c>
      <c r="E24" s="5"/>
      <c r="F24" s="5"/>
      <c r="G24" s="5"/>
      <c r="H24" s="5"/>
      <c r="I24" s="5"/>
      <c r="J24" s="5"/>
      <c r="K24" s="5"/>
    </row>
    <row r="25" spans="1:11" ht="16" x14ac:dyDescent="0.2">
      <c r="A25" s="1" t="s">
        <v>17</v>
      </c>
      <c r="B25" s="2"/>
      <c r="C25" s="9"/>
      <c r="D25" s="6">
        <f>SUM(D2:D24)</f>
        <v>4811.26</v>
      </c>
      <c r="E25" s="5"/>
      <c r="F25" s="5"/>
      <c r="G25" s="5"/>
      <c r="H25" s="5"/>
      <c r="I25" s="5"/>
      <c r="J25" s="5"/>
      <c r="K25" s="5"/>
    </row>
  </sheetData>
  <hyperlinks>
    <hyperlink ref="C7" r:id="rId1" xr:uid="{1CB5CB7A-BD7C-4A47-AE40-BA0A27EEBAF2}"/>
  </hyperlinks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Quadros</dc:creator>
  <cp:lastModifiedBy>Daniel VM</cp:lastModifiedBy>
  <cp:lastPrinted>2025-07-29T13:48:55Z</cp:lastPrinted>
  <dcterms:created xsi:type="dcterms:W3CDTF">2015-06-05T18:19:34Z</dcterms:created>
  <dcterms:modified xsi:type="dcterms:W3CDTF">2026-04-28T03:26:24Z</dcterms:modified>
</cp:coreProperties>
</file>