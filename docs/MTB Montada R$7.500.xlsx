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MTB Montada R$7.500\"/>
    </mc:Choice>
  </mc:AlternateContent>
  <xr:revisionPtr revIDLastSave="0" documentId="13_ncr:1_{6BDFD6FB-AEED-4FA5-8F5F-CA61F6007039}" xr6:coauthVersionLast="47" xr6:coauthVersionMax="47" xr10:uidLastSave="{00000000-0000-0000-0000-000000000000}"/>
  <bookViews>
    <workbookView xWindow="0" yWindow="0" windowWidth="19200" windowHeight="1560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0" i="1"/>
  <c r="D11" i="1"/>
  <c r="D10" i="1"/>
  <c r="D7" i="1"/>
  <c r="D5" i="1"/>
  <c r="D15" i="1"/>
  <c r="D12" i="1"/>
  <c r="D6" i="1"/>
  <c r="D24" i="1" l="1"/>
</calcChain>
</file>

<file path=xl/sharedStrings.xml><?xml version="1.0" encoding="utf-8"?>
<sst xmlns="http://schemas.openxmlformats.org/spreadsheetml/2006/main" count="70" uniqueCount="65">
  <si>
    <t>PREÇO</t>
  </si>
  <si>
    <t>QUADRO</t>
  </si>
  <si>
    <t>SUSPENSÃO</t>
  </si>
  <si>
    <t>FREIOS</t>
  </si>
  <si>
    <t>CAMBIO D</t>
  </si>
  <si>
    <t>CAMBIO T</t>
  </si>
  <si>
    <t>CASSETE</t>
  </si>
  <si>
    <t>CORRENTE</t>
  </si>
  <si>
    <t>PEDIVELA</t>
  </si>
  <si>
    <t>ARO</t>
  </si>
  <si>
    <t>CUBO</t>
  </si>
  <si>
    <t>RAIO</t>
  </si>
  <si>
    <t>PNEU</t>
  </si>
  <si>
    <t>GUIDÃO</t>
  </si>
  <si>
    <t>MESA</t>
  </si>
  <si>
    <t>CANOTE</t>
  </si>
  <si>
    <t>SELIM</t>
  </si>
  <si>
    <t>-</t>
  </si>
  <si>
    <t>TROCADOR</t>
  </si>
  <si>
    <t>TOTAL</t>
  </si>
  <si>
    <t>CAIXA DE DIREÇÃO</t>
  </si>
  <si>
    <t>MOVIMENTO CENTRAL</t>
  </si>
  <si>
    <t>MODELO</t>
  </si>
  <si>
    <t>LINK</t>
  </si>
  <si>
    <t>DISCOS</t>
  </si>
  <si>
    <t>CÂMARA</t>
  </si>
  <si>
    <t>https://produto.mercadolivre.com.br/MLB-3878386731-quadro-absolute-wild-boost-2-tapered-bike-mtb-aro-29-c-eixo-_JM?matt_tool=36989748&amp;matt_internal_campaign_id=&amp;matt_word=&amp;matt_source=google&amp;matt_campaign_id=22442949720&amp;matt_ad_group_id=177451837425&amp;matt_match_type=&amp;matt_network=g&amp;matt_device=c&amp;matt_creative=746682045791&amp;matt_keyword=&amp;matt_ad_position=&amp;matt_ad_type=pla&amp;matt_merchant_id=140415772&amp;matt_product_id=MLB3878386731&amp;matt_product_partition_id=2392354591433&amp;matt_target_id=pla-2392354591433&amp;cq_src=google_ads&amp;cq_cmp=22442949720&amp;cq_net=g&amp;cq_plt=gp&amp;cq_med=pla&amp;gad_source=1&amp;gad_campaignid=22442949720&amp;gclid=CjwKCAjwvuLDBhAOEiwAPtF0VlNgUvLJJCi6Qbarbwd1cbClxoL9f0dKVzSCYl3xBVSGu19m_ZNL9xoCNv8QAvD_BwE</t>
  </si>
  <si>
    <t>Absolute Wild 2</t>
  </si>
  <si>
    <t>https://produto.mercadolivre.com.br/MLB-2820611146-caixa-direco-bike-absolute-integrada-is-rolamentos-5242mm-_JM#polycard_client=search-nordic&amp;position=1&amp;search_layout=stack&amp;type=item&amp;tracking_id=aec3f608-a8b9-4026-aec7-83bbfa949e2d&amp;wid=MLB2820611146&amp;sid=search</t>
  </si>
  <si>
    <t>Absolute Integrada</t>
  </si>
  <si>
    <t>https://produto.mercadolivre.com.br/MLB-5317963480-suspenso-mtb-29-suntour-xcr32-rlr-tapered-boost-110x15mm-ar-_JM#polycard_client=search-nordic&amp;position=5&amp;search_layout=grid&amp;type=item&amp;tracking_id=8b1b3e6a-463c-47c6-8780-08425878d6ca&amp;wid=MLB5317963480&amp;sid=search</t>
  </si>
  <si>
    <t>Suntour XCR 32 Boost</t>
  </si>
  <si>
    <t>https://tidd.ly/45aA8ZW</t>
  </si>
  <si>
    <t>RT 56 180 / 160</t>
  </si>
  <si>
    <t>https://tidd.ly/4kITlGU</t>
  </si>
  <si>
    <t>MT510</t>
  </si>
  <si>
    <t>BB52</t>
  </si>
  <si>
    <t>Vzan Extreme Pro 28f</t>
  </si>
  <si>
    <t>https://tidd.ly/3Ughrhh</t>
  </si>
  <si>
    <t>Koozer XM490 PRO</t>
  </si>
  <si>
    <t>https://produto.mercadolivre.com.br/MLB-5185288072-raio-fino-inox-preto-20mm-com-niples-richman-56pcs-_JM?searchVariation=186117745621#polycard_client=search-nordic&amp;searchVariation=186117745621&amp;position=11&amp;search_layout=grid&amp;type=item&amp;tracking_id=935bf957-08a0-4c91-b5ac-8dd8ecad5e70</t>
  </si>
  <si>
    <t>Richmann Inox 2.0</t>
  </si>
  <si>
    <t>Absolute Wild 760</t>
  </si>
  <si>
    <t>https://tidd.ly/44RHB01</t>
  </si>
  <si>
    <t>MT410</t>
  </si>
  <si>
    <t>https://tidd.ly/41bGbv0</t>
  </si>
  <si>
    <t>Deore M6100</t>
  </si>
  <si>
    <t>https://tidd.ly/44SZ4p1</t>
  </si>
  <si>
    <t>KMC X12</t>
  </si>
  <si>
    <t>https://tidd.ly/46xhoVL</t>
  </si>
  <si>
    <t>https://www.mercadolivre.com.br/par-aro-de-roda-bike-29-mtb-vzan-strike-pro-c-ilhos-32f/p/MLB39343700#polycard_client=search-nordic&amp;searchVariation=MLB39343700&amp;wid=MLB4008660545&amp;position=4&amp;search_layout=grid&amp;type=product&amp;tracking_id=122d42da-f1fa-452a-9ddc-1bb29c3994f6&amp;sid=search</t>
  </si>
  <si>
    <t>Chaoyang Phantom Dry 2.30</t>
  </si>
  <si>
    <t>https://www.avelarshop.com.br/MLB-4084597301-par-de-pneus-mtb-chaoyang-phantom-dry-29x230-60tpi-kvl-tbl-_JM?pdp_filters=seller_id%3A569119547#polycard_client=search-nordic-mshops&amp;position=13&amp;search_layout=grid&amp;type=item&amp;tracking_id=92d93de5-c5db-4913-a5eb-3d36803772c7&amp;wid=MLB4084597301&amp;sid=search</t>
  </si>
  <si>
    <t xml:space="preserve">Kit Tubeless </t>
  </si>
  <si>
    <t>https://produto.mercadolivre.com.br/MLB-2762806908-kit-selante-tubeless-algoo-500ml-fita-gorilla-valvulas-_JM#is_advertising=true&amp;backend_model=search-backend&amp;position=10&amp;search_layout=grid&amp;type=pad&amp;tracking_id=bf04d024-fd5d-41db-ba56-c63e1f944c26&amp;is_advertising=true&amp;ad_domain=VQCATCORE_LST&amp;ad_position=10&amp;ad_click_id=ODlhNGE2Y2UtYmY2NC00YWNiLWEwZWYtZDBkYjk1NmQxOWI2</t>
  </si>
  <si>
    <t>https://tidd.ly/45p2Oi1</t>
  </si>
  <si>
    <t>Kalloy Uno 70x7</t>
  </si>
  <si>
    <t>https://www.mercadolivre.com.br/guido-mtb-reto-absolute-wild-318-x-760mm/p/MLB27065068#polycard_client=search-nordic&amp;searchVariation=MLB27065068&amp;wid=MLB4559093272&amp;position=3&amp;search_layout=grid&amp;type=product&amp;tracking_id=6dd6b585-fa40-41b6-b961-2c25e2f88ae2&amp;sid=search</t>
  </si>
  <si>
    <t>https://produto.mercadolivre.com.br/MLB-2963320792-canote-retratil-ks-exa-form-900i-309-316-curso-125mm-150mm-_JM?attributes=Tamanho_vpp%3AMzEuNiAzOTVtbQ%3D%3D&amp;quantity=1&amp;picker=true</t>
  </si>
  <si>
    <t>EXA Form 900i 125mm</t>
  </si>
  <si>
    <t>https://tidd.ly/4mkYMNu</t>
  </si>
  <si>
    <t xml:space="preserve">Ryet Ultimate </t>
  </si>
  <si>
    <t>MANOPLA</t>
  </si>
  <si>
    <t>https://produto.mercadolivre.com.br/MLB-5215817580-manopla-absolute-lg-bike-mtb-borracha-com-anel-e-trava-_JM#polycard_client=recommendations_vip-v2p&amp;reco_backend=ranker_retrieval_online_vpp_v2p&amp;reco_model=rk_online_v3_retsys_vpp_v2p%2C+coldstart_high_exposition%2C+coldstart_low_exposition&amp;reco_client=vip-v2p&amp;reco_item_pos=0&amp;reco_backend_type=low_level&amp;reco_id=0707d580-0b04-4f2d-a3e1-a0a5195253e2</t>
  </si>
  <si>
    <t>Absolute LG5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</si>
</sst>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0" fontId="0" fillId="0" borderId="0" xfId="0" applyAlignment="1">
      <alignment wrapText="1"/>
    </xf>
    <xf numFmtId="44" fontId="0" fillId="3" borderId="1" xfId="1" applyFont="1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"/>
  <sheetViews>
    <sheetView tabSelected="1" workbookViewId="0">
      <selection sqref="A1:D24"/>
    </sheetView>
  </sheetViews>
  <sheetFormatPr defaultRowHeight="15" x14ac:dyDescent="0.25"/>
  <cols>
    <col min="1" max="1" width="15.140625" customWidth="1"/>
    <col min="2" max="2" width="35" customWidth="1"/>
    <col min="3" max="3" width="21.5703125" customWidth="1"/>
    <col min="4" max="4" width="19.42578125" customWidth="1"/>
    <col min="5" max="5" width="3.7109375" customWidth="1"/>
    <col min="6" max="6" width="17.42578125" customWidth="1"/>
    <col min="7" max="7" width="3.7109375" customWidth="1"/>
    <col min="8" max="8" width="16.140625" customWidth="1"/>
    <col min="9" max="9" width="3.7109375" customWidth="1"/>
    <col min="10" max="10" width="22.140625" customWidth="1"/>
    <col min="11" max="11" width="3.7109375" customWidth="1"/>
  </cols>
  <sheetData>
    <row r="1" spans="1:11" ht="14.25" customHeight="1" x14ac:dyDescent="0.25">
      <c r="A1" s="1"/>
      <c r="B1" s="1" t="s">
        <v>22</v>
      </c>
      <c r="C1" s="8" t="s">
        <v>23</v>
      </c>
      <c r="D1" s="1" t="s">
        <v>0</v>
      </c>
      <c r="E1" s="5"/>
      <c r="F1" s="5"/>
      <c r="G1" s="5"/>
      <c r="H1" s="5"/>
      <c r="I1" s="5"/>
      <c r="J1" s="5"/>
      <c r="K1" s="5"/>
    </row>
    <row r="2" spans="1:11" x14ac:dyDescent="0.25">
      <c r="A2" s="1" t="s">
        <v>1</v>
      </c>
      <c r="B2" s="3" t="s">
        <v>27</v>
      </c>
      <c r="C2" s="7" t="s">
        <v>26</v>
      </c>
      <c r="D2" s="4">
        <v>1093.3499999999999</v>
      </c>
      <c r="E2" s="5"/>
      <c r="F2" s="5"/>
      <c r="G2" s="5"/>
      <c r="H2" s="5"/>
      <c r="I2" s="5"/>
      <c r="J2" s="5"/>
      <c r="K2" s="5"/>
    </row>
    <row r="3" spans="1:11" ht="30" x14ac:dyDescent="0.25">
      <c r="A3" s="1" t="s">
        <v>20</v>
      </c>
      <c r="B3" s="3" t="s">
        <v>29</v>
      </c>
      <c r="C3" s="7" t="s">
        <v>28</v>
      </c>
      <c r="D3" s="4">
        <v>65.099999999999994</v>
      </c>
      <c r="E3" s="5"/>
      <c r="F3" s="5"/>
      <c r="G3" s="5"/>
      <c r="H3" s="5"/>
      <c r="I3" s="5"/>
      <c r="J3" s="5"/>
      <c r="K3" s="5"/>
    </row>
    <row r="4" spans="1:11" x14ac:dyDescent="0.25">
      <c r="A4" s="1" t="s">
        <v>2</v>
      </c>
      <c r="B4" s="3" t="s">
        <v>31</v>
      </c>
      <c r="C4" s="7" t="s">
        <v>30</v>
      </c>
      <c r="D4" s="4">
        <v>1399.9</v>
      </c>
      <c r="E4" s="5"/>
      <c r="F4" s="5"/>
      <c r="G4" s="5"/>
      <c r="H4" s="5"/>
      <c r="I4" s="5"/>
      <c r="J4" s="5"/>
      <c r="K4" s="5"/>
    </row>
    <row r="5" spans="1:11" x14ac:dyDescent="0.25">
      <c r="A5" s="1" t="s">
        <v>3</v>
      </c>
      <c r="B5" s="3" t="s">
        <v>44</v>
      </c>
      <c r="C5" s="7" t="s">
        <v>43</v>
      </c>
      <c r="D5" s="4">
        <f>256.12+114.24</f>
        <v>370.36</v>
      </c>
      <c r="E5" s="5"/>
      <c r="F5" s="5"/>
      <c r="G5" s="5"/>
      <c r="H5" s="5"/>
      <c r="I5" s="5"/>
      <c r="J5" s="5"/>
      <c r="K5" s="5"/>
    </row>
    <row r="6" spans="1:11" x14ac:dyDescent="0.25">
      <c r="A6" s="1" t="s">
        <v>24</v>
      </c>
      <c r="B6" s="3" t="s">
        <v>33</v>
      </c>
      <c r="C6" s="7" t="s">
        <v>32</v>
      </c>
      <c r="D6" s="4">
        <f>(12.5+5.63)+(17.81+7.99)+39</f>
        <v>82.929999999999993</v>
      </c>
      <c r="E6" s="5"/>
      <c r="F6" s="5"/>
      <c r="G6" s="5"/>
      <c r="H6" s="5"/>
      <c r="I6" s="5"/>
      <c r="J6" s="5"/>
      <c r="K6" s="5"/>
    </row>
    <row r="7" spans="1:11" x14ac:dyDescent="0.25">
      <c r="A7" s="1" t="s">
        <v>18</v>
      </c>
      <c r="B7" s="3" t="s">
        <v>46</v>
      </c>
      <c r="C7" s="7" t="s">
        <v>45</v>
      </c>
      <c r="D7" s="4">
        <f>257.91+115.08</f>
        <v>372.99</v>
      </c>
      <c r="E7" s="5"/>
      <c r="F7" s="5"/>
      <c r="G7" s="5"/>
      <c r="H7" s="5"/>
      <c r="I7" s="5"/>
      <c r="J7" s="5"/>
      <c r="K7" s="5"/>
    </row>
    <row r="8" spans="1:11" x14ac:dyDescent="0.25">
      <c r="A8" s="1" t="s">
        <v>4</v>
      </c>
      <c r="B8" s="3" t="s">
        <v>17</v>
      </c>
      <c r="C8" s="7" t="s">
        <v>17</v>
      </c>
      <c r="D8" s="4">
        <v>0</v>
      </c>
      <c r="E8" s="5"/>
      <c r="F8" s="5"/>
      <c r="G8" s="5"/>
      <c r="H8" s="5"/>
      <c r="I8" s="5"/>
      <c r="J8" s="5"/>
      <c r="K8" s="5"/>
    </row>
    <row r="9" spans="1:11" x14ac:dyDescent="0.25">
      <c r="A9" s="1" t="s">
        <v>5</v>
      </c>
      <c r="B9" s="3" t="s">
        <v>46</v>
      </c>
      <c r="C9" s="7" t="s">
        <v>17</v>
      </c>
      <c r="D9" s="4">
        <v>0</v>
      </c>
      <c r="E9" s="5"/>
      <c r="F9" s="5"/>
      <c r="G9" s="5"/>
      <c r="H9" s="5"/>
      <c r="I9" s="5"/>
      <c r="J9" s="5"/>
      <c r="K9" s="5"/>
    </row>
    <row r="10" spans="1:11" x14ac:dyDescent="0.25">
      <c r="A10" s="1" t="s">
        <v>6</v>
      </c>
      <c r="B10" s="3" t="s">
        <v>46</v>
      </c>
      <c r="C10" s="7" t="s">
        <v>47</v>
      </c>
      <c r="D10" s="4">
        <f>311.67+143.86</f>
        <v>455.53000000000003</v>
      </c>
      <c r="E10" s="5"/>
      <c r="F10" s="5"/>
      <c r="G10" s="5"/>
      <c r="H10" s="5"/>
      <c r="I10" s="5"/>
      <c r="J10" s="5"/>
      <c r="K10" s="5"/>
    </row>
    <row r="11" spans="1:11" x14ac:dyDescent="0.25">
      <c r="A11" s="1" t="s">
        <v>7</v>
      </c>
      <c r="B11" s="3" t="s">
        <v>48</v>
      </c>
      <c r="C11" s="7" t="s">
        <v>49</v>
      </c>
      <c r="D11" s="4">
        <f>137.16+61.17</f>
        <v>198.32999999999998</v>
      </c>
      <c r="E11" s="5"/>
      <c r="F11" s="5"/>
      <c r="G11" s="5"/>
      <c r="H11" s="5"/>
      <c r="I11" s="5"/>
      <c r="J11" s="5"/>
      <c r="K11" s="5"/>
    </row>
    <row r="12" spans="1:11" x14ac:dyDescent="0.25">
      <c r="A12" s="1" t="s">
        <v>8</v>
      </c>
      <c r="B12" s="3" t="s">
        <v>35</v>
      </c>
      <c r="C12" s="7" t="s">
        <v>34</v>
      </c>
      <c r="D12" s="4">
        <f>274.21+122.31+110.11</f>
        <v>506.63</v>
      </c>
      <c r="E12" s="5"/>
      <c r="F12" s="5"/>
      <c r="G12" s="5"/>
      <c r="H12" s="5"/>
      <c r="I12" s="5"/>
      <c r="J12" s="5"/>
      <c r="K12" s="5"/>
    </row>
    <row r="13" spans="1:11" ht="30" x14ac:dyDescent="0.25">
      <c r="A13" s="1" t="s">
        <v>21</v>
      </c>
      <c r="B13" s="3" t="s">
        <v>36</v>
      </c>
      <c r="C13" s="7" t="s">
        <v>17</v>
      </c>
      <c r="D13" s="4">
        <v>0</v>
      </c>
      <c r="E13" s="5"/>
      <c r="F13" s="5"/>
      <c r="G13" s="5"/>
      <c r="H13" s="5"/>
      <c r="I13" s="5"/>
      <c r="J13" s="5"/>
      <c r="K13" s="5"/>
    </row>
    <row r="14" spans="1:11" x14ac:dyDescent="0.25">
      <c r="A14" s="1" t="s">
        <v>9</v>
      </c>
      <c r="B14" s="3" t="s">
        <v>37</v>
      </c>
      <c r="C14" s="7" t="s">
        <v>50</v>
      </c>
      <c r="D14" s="4">
        <v>164.9</v>
      </c>
      <c r="E14" s="5"/>
      <c r="F14" s="5"/>
      <c r="G14" s="5"/>
      <c r="H14" s="5"/>
      <c r="I14" s="5"/>
      <c r="J14" s="5"/>
      <c r="K14" s="5"/>
    </row>
    <row r="15" spans="1:11" x14ac:dyDescent="0.25">
      <c r="A15" s="1" t="s">
        <v>10</v>
      </c>
      <c r="B15" s="3" t="s">
        <v>39</v>
      </c>
      <c r="C15" s="7" t="s">
        <v>38</v>
      </c>
      <c r="D15" s="4">
        <f>254.83+113.66</f>
        <v>368.49</v>
      </c>
      <c r="E15" s="5"/>
      <c r="F15" s="5"/>
      <c r="G15" s="5"/>
      <c r="H15" s="5"/>
      <c r="I15" s="5"/>
      <c r="J15" s="5"/>
      <c r="K15" s="5"/>
    </row>
    <row r="16" spans="1:11" x14ac:dyDescent="0.25">
      <c r="A16" s="1" t="s">
        <v>11</v>
      </c>
      <c r="B16" s="3" t="s">
        <v>41</v>
      </c>
      <c r="C16" s="7" t="s">
        <v>40</v>
      </c>
      <c r="D16" s="4">
        <v>132</v>
      </c>
      <c r="E16" s="5"/>
      <c r="F16" s="5"/>
      <c r="G16" s="5"/>
      <c r="H16" s="5"/>
      <c r="I16" s="5"/>
      <c r="J16" s="5"/>
      <c r="K16" s="5"/>
    </row>
    <row r="17" spans="1:11" x14ac:dyDescent="0.25">
      <c r="A17" s="1" t="s">
        <v>12</v>
      </c>
      <c r="B17" s="3" t="s">
        <v>51</v>
      </c>
      <c r="C17" s="7" t="s">
        <v>52</v>
      </c>
      <c r="D17" s="4">
        <v>259.48</v>
      </c>
      <c r="E17" s="5"/>
      <c r="F17" s="5"/>
      <c r="G17" s="5"/>
      <c r="H17" s="5"/>
      <c r="I17" s="5"/>
      <c r="J17" s="5"/>
      <c r="K17" s="5"/>
    </row>
    <row r="18" spans="1:11" x14ac:dyDescent="0.25">
      <c r="A18" s="1" t="s">
        <v>25</v>
      </c>
      <c r="B18" s="3" t="s">
        <v>53</v>
      </c>
      <c r="C18" s="7" t="s">
        <v>54</v>
      </c>
      <c r="D18" s="4">
        <v>161.5</v>
      </c>
      <c r="E18" s="5"/>
      <c r="F18" s="5"/>
      <c r="G18" s="5"/>
      <c r="H18" s="5"/>
      <c r="I18" s="5"/>
      <c r="J18" s="5"/>
      <c r="K18" s="5"/>
    </row>
    <row r="19" spans="1:11" x14ac:dyDescent="0.25">
      <c r="A19" s="1" t="s">
        <v>13</v>
      </c>
      <c r="B19" s="3" t="s">
        <v>42</v>
      </c>
      <c r="C19" s="7" t="s">
        <v>57</v>
      </c>
      <c r="D19" s="4">
        <v>104.77</v>
      </c>
      <c r="E19" s="5"/>
      <c r="F19" s="5"/>
      <c r="G19" s="5"/>
      <c r="H19" s="5"/>
      <c r="I19" s="5"/>
      <c r="J19" s="5"/>
      <c r="K19" s="5"/>
    </row>
    <row r="20" spans="1:11" x14ac:dyDescent="0.25">
      <c r="A20" s="1" t="s">
        <v>14</v>
      </c>
      <c r="B20" s="3" t="s">
        <v>56</v>
      </c>
      <c r="C20" s="7" t="s">
        <v>55</v>
      </c>
      <c r="D20" s="4">
        <f>84.05+37.52</f>
        <v>121.57</v>
      </c>
      <c r="E20" s="5"/>
      <c r="F20" s="5"/>
      <c r="G20" s="5"/>
      <c r="H20" s="5"/>
      <c r="I20" s="5"/>
      <c r="J20" s="5"/>
      <c r="K20" s="5"/>
    </row>
    <row r="21" spans="1:11" x14ac:dyDescent="0.25">
      <c r="A21" s="1" t="s">
        <v>62</v>
      </c>
      <c r="B21" s="3" t="s">
        <v>64</v>
      </c>
      <c r="C21" s="7" t="s">
        <v>63</v>
      </c>
      <c r="D21" s="4">
        <v>39.020000000000003</v>
      </c>
      <c r="E21" s="5"/>
      <c r="F21" s="5"/>
      <c r="G21" s="5"/>
      <c r="H21" s="5"/>
      <c r="I21" s="5"/>
      <c r="J21" s="5"/>
      <c r="K21" s="5"/>
    </row>
    <row r="22" spans="1:11" x14ac:dyDescent="0.25">
      <c r="A22" s="1" t="s">
        <v>15</v>
      </c>
      <c r="B22" s="3" t="s">
        <v>59</v>
      </c>
      <c r="C22" s="7" t="s">
        <v>58</v>
      </c>
      <c r="D22" s="4">
        <v>668.33</v>
      </c>
      <c r="E22" s="5"/>
      <c r="F22" s="5"/>
      <c r="G22" s="5"/>
      <c r="H22" s="5"/>
      <c r="I22" s="5"/>
      <c r="J22" s="5"/>
      <c r="K22" s="5"/>
    </row>
    <row r="23" spans="1:11" x14ac:dyDescent="0.25">
      <c r="A23" s="1" t="s">
        <v>16</v>
      </c>
      <c r="B23" s="3" t="s">
        <v>61</v>
      </c>
      <c r="C23" s="7" t="s">
        <v>60</v>
      </c>
      <c r="D23" s="4">
        <f>211.6+94.44</f>
        <v>306.03999999999996</v>
      </c>
      <c r="E23" s="5"/>
      <c r="F23" s="5"/>
      <c r="G23" s="5"/>
      <c r="H23" s="5"/>
      <c r="I23" s="5"/>
      <c r="J23" s="5"/>
      <c r="K23" s="5"/>
    </row>
    <row r="24" spans="1:11" x14ac:dyDescent="0.25">
      <c r="A24" s="1" t="s">
        <v>19</v>
      </c>
      <c r="B24" s="2"/>
      <c r="C24" s="9"/>
      <c r="D24" s="6">
        <f>SUM(D2:D23)</f>
        <v>6871.22</v>
      </c>
      <c r="E24" s="5"/>
      <c r="F24" s="5"/>
      <c r="G24" s="5"/>
      <c r="H24" s="5"/>
      <c r="I24" s="5"/>
      <c r="J24" s="5"/>
      <c r="K24" s="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Quadros</dc:creator>
  <cp:lastModifiedBy>Júnior Quadros</cp:lastModifiedBy>
  <cp:lastPrinted>2025-07-29T13:48:55Z</cp:lastPrinted>
  <dcterms:created xsi:type="dcterms:W3CDTF">2015-06-05T18:19:34Z</dcterms:created>
  <dcterms:modified xsi:type="dcterms:W3CDTF">2025-07-29T13:48:59Z</dcterms:modified>
</cp:coreProperties>
</file>