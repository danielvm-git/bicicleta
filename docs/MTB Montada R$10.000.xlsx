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TB Montada R$10.000\"/>
    </mc:Choice>
  </mc:AlternateContent>
  <xr:revisionPtr revIDLastSave="0" documentId="13_ncr:1_{898DE639-0C0C-4611-8051-65035BB2C33D}" xr6:coauthVersionLast="47" xr6:coauthVersionMax="47" xr10:uidLastSave="{00000000-0000-0000-0000-000000000000}"/>
  <bookViews>
    <workbookView xWindow="0" yWindow="0" windowWidth="19200" windowHeight="1560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0" i="1"/>
  <c r="D16" i="1"/>
  <c r="D6" i="1"/>
  <c r="D15" i="1"/>
  <c r="D12" i="1"/>
  <c r="D10" i="1"/>
  <c r="D7" i="1"/>
  <c r="D5" i="1"/>
  <c r="D11" i="1"/>
  <c r="D24" i="1" l="1"/>
</calcChain>
</file>

<file path=xl/sharedStrings.xml><?xml version="1.0" encoding="utf-8"?>
<sst xmlns="http://schemas.openxmlformats.org/spreadsheetml/2006/main" count="70" uniqueCount="65">
  <si>
    <t>PREÇO</t>
  </si>
  <si>
    <t>QUADRO</t>
  </si>
  <si>
    <t>SUSPENSÃO</t>
  </si>
  <si>
    <t>FREIOS</t>
  </si>
  <si>
    <t>CAMBIO D</t>
  </si>
  <si>
    <t>CAMBIO T</t>
  </si>
  <si>
    <t>CASSETE</t>
  </si>
  <si>
    <t>CORRENTE</t>
  </si>
  <si>
    <t>PEDIVELA</t>
  </si>
  <si>
    <t>ARO</t>
  </si>
  <si>
    <t>CUBO</t>
  </si>
  <si>
    <t>RAIO</t>
  </si>
  <si>
    <t>PNEU</t>
  </si>
  <si>
    <t>GUIDÃO</t>
  </si>
  <si>
    <t>MESA</t>
  </si>
  <si>
    <t>CANOTE</t>
  </si>
  <si>
    <t>SELIM</t>
  </si>
  <si>
    <t>-</t>
  </si>
  <si>
    <t>TROCADOR</t>
  </si>
  <si>
    <t>TOTAL</t>
  </si>
  <si>
    <t>CAIXA DE DIREÇÃO</t>
  </si>
  <si>
    <t>MOVIMENTO CENTRAL</t>
  </si>
  <si>
    <t>MODELO</t>
  </si>
  <si>
    <t>LINK</t>
  </si>
  <si>
    <t>DISCOS</t>
  </si>
  <si>
    <t>CÂMARA</t>
  </si>
  <si>
    <t>Absolute Wild 2</t>
  </si>
  <si>
    <t>https://produto.mercadolivre.com.br/MLB-2820611146-caixa-direco-bike-absolute-integrada-is-rolamentos-5242mm-_JM#polycard_client=search-nordic&amp;position=1&amp;search_layout=stack&amp;type=item&amp;tracking_id=aec3f608-a8b9-4026-aec7-83bbfa949e2d&amp;wid=MLB2820611146&amp;sid=search</t>
  </si>
  <si>
    <t>Absolute Integrada</t>
  </si>
  <si>
    <t>https://tidd.ly/45aA8ZW</t>
  </si>
  <si>
    <t>https://tidd.ly/4kITlGU</t>
  </si>
  <si>
    <t>MT510</t>
  </si>
  <si>
    <t>BB52</t>
  </si>
  <si>
    <t>Deore M6100</t>
  </si>
  <si>
    <t>KMC X12</t>
  </si>
  <si>
    <t>https://tidd.ly/46xhoVL</t>
  </si>
  <si>
    <t xml:space="preserve">Kit Tubeless </t>
  </si>
  <si>
    <t>https://produto.mercadolivre.com.br/MLB-2762806908-kit-selante-tubeless-algoo-500ml-fita-gorilla-valvulas-_JM#is_advertising=true&amp;backend_model=search-backend&amp;position=10&amp;search_layout=grid&amp;type=pad&amp;tracking_id=bf04d024-fd5d-41db-ba56-c63e1f944c26&amp;is_advertising=true&amp;ad_domain=VQCATCORE_LST&amp;ad_position=10&amp;ad_click_id=ODlhNGE2Y2UtYmY2NC00YWNiLWEwZWYtZDBkYjk1NmQxOWI2</t>
  </si>
  <si>
    <t>https://tidd.ly/45p2Oi1</t>
  </si>
  <si>
    <t>Kalloy Uno 70x7</t>
  </si>
  <si>
    <t>https://produto.mercadolivre.com.br/MLB-2963320792-canote-retratil-ks-exa-form-900i-309-316-curso-125mm-150mm-_JM?attributes=Tamanho_vpp%3AMzEuNiAzOTVtbQ%3D%3D&amp;quantity=1&amp;picker=true</t>
  </si>
  <si>
    <t>EXA Form 900i 125mm</t>
  </si>
  <si>
    <t>https://tidd.ly/4mkYMNu</t>
  </si>
  <si>
    <t xml:space="preserve">Ryet Ultimate </t>
  </si>
  <si>
    <t>MANOPLA</t>
  </si>
  <si>
    <t>Proshock Ultra XC 100mm</t>
  </si>
  <si>
    <t>https://proshock.com.br/produtos/suspensao/ariete/ultra-ariete/ultra-xc-tg-ariete/ultra-xc-tg-ariete-29-tapered-eixo-15x110-mm-eixo-boost-15x110-mm-cursos-100-mm-110-mm-e-120-mm/</t>
  </si>
  <si>
    <t>https://tidd.ly/3HbsFRw</t>
  </si>
  <si>
    <t>https://tidd.ly/4oCt1By</t>
  </si>
  <si>
    <t>SLX M7100</t>
  </si>
  <si>
    <t>https://tidd.ly/3HtTGiY</t>
  </si>
  <si>
    <t>https://produto.mercadolivre.com.br/MLB-5378070586-par-aro-folha-29-vzan-overland-xc-tubeless-28-furos-aluminio-_JM#polycard_client=search-nordic&amp;position=4&amp;search_layout=grid&amp;type=item&amp;tracking_id=018fd0c7-81d1-4f74-b279-7706d9ab1832&amp;wid=MLB5378070586&amp;sid=search</t>
  </si>
  <si>
    <t>Vzan Overland 28f</t>
  </si>
  <si>
    <t>https://tidd.ly/45i1BJC</t>
  </si>
  <si>
    <t>Koozer XM450 SP</t>
  </si>
  <si>
    <t>MT800 160/180</t>
  </si>
  <si>
    <t>https://tidd.ly/4mcnyj0</t>
  </si>
  <si>
    <t>Pillar TB2015</t>
  </si>
  <si>
    <t>https://www.mercadolivre.com.br/guido-session-carbon-200-xc-318x780mm-carbono-leve/p/MLB32355979#polycard_client=search-nordic&amp;searchVariation=MLB32355979&amp;wid=MLB3789703245&amp;position=2&amp;search_layout=stack&amp;type=product&amp;tracking_id=e9b48557-6806-4857-a237-7b01e146a30b&amp;sid=search</t>
  </si>
  <si>
    <t>Session Carbon 200</t>
  </si>
  <si>
    <t>https://produto.mercadolivre.com.br/MLB-4128584911-manopla-guido-bicicleta-supacaz-supalite-_JM?searchVariation=184311207820#polycard_client=search-nordic&amp;searchVariation=184311207820&amp;position=14&amp;search_layout=grid&amp;type=item&amp;tracking_id=99fc31a1-090f-4243-a032-79cea170b15a</t>
  </si>
  <si>
    <t>Supacaz Supalite</t>
  </si>
  <si>
    <t xml:space="preserve">Chaoyang Phantom Dry + Wet Elite </t>
  </si>
  <si>
    <t>https://www.avelarshop.com.br/MLB-3908427431-par-pneu-29-chaoyang-phantom-elite-wet-22-dry-23-120tpi-_JM?pdp_filters=seller_id%3A569119547#polycard_client=search-nordic-mshops&amp;position=7&amp;search_layout=grid&amp;type=item&amp;tracking_id=53fc3d21-1097-4ea0-8044-bca9668fa9a6&amp;wid=MLB3908427431&amp;sid=search</t>
  </si>
  <si>
    <t>https://www.mercadolivre.com.br/quadro-absolute-wild-boost-2-bike-mtb-aro-29-tapered-c-eixo-cor-preto-tamanho-del-quadro-m-17/p/MLB42049906#polycard_client=search-nordic&amp;searchVariation=MLB42049906&amp;wid=MLB5395716832&amp;position=3&amp;search_layout=grid&amp;type=product&amp;tracking_id=a56fb45e-3b78-4af8-af58-c3de72279ab4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</si>
</sst>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0" fontId="0" fillId="0" borderId="0" xfId="0" applyAlignment="1">
      <alignment wrapText="1"/>
    </xf>
    <xf numFmtId="44" fontId="0" fillId="3" borderId="1" xfId="1" applyFont="1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"/>
  <sheetViews>
    <sheetView tabSelected="1" workbookViewId="0">
      <selection activeCell="C3" sqref="C3"/>
    </sheetView>
  </sheetViews>
  <sheetFormatPr defaultRowHeight="15" x14ac:dyDescent="0.25"/>
  <cols>
    <col min="1" max="1" width="15.140625" customWidth="1"/>
    <col min="2" max="2" width="35" customWidth="1"/>
    <col min="3" max="3" width="21.5703125" customWidth="1"/>
    <col min="4" max="4" width="19.42578125" customWidth="1"/>
    <col min="5" max="5" width="3.7109375" customWidth="1"/>
    <col min="6" max="6" width="17.42578125" customWidth="1"/>
    <col min="7" max="7" width="3.7109375" customWidth="1"/>
    <col min="8" max="8" width="16.140625" customWidth="1"/>
    <col min="9" max="9" width="3.7109375" customWidth="1"/>
    <col min="10" max="10" width="22.140625" customWidth="1"/>
    <col min="11" max="11" width="3.7109375" customWidth="1"/>
  </cols>
  <sheetData>
    <row r="1" spans="1:11" ht="14.25" customHeight="1" x14ac:dyDescent="0.25">
      <c r="A1" s="1"/>
      <c r="B1" s="1" t="s">
        <v>22</v>
      </c>
      <c r="C1" s="8" t="s">
        <v>23</v>
      </c>
      <c r="D1" s="1" t="s">
        <v>0</v>
      </c>
      <c r="E1" s="5"/>
      <c r="F1" s="5"/>
      <c r="G1" s="5"/>
      <c r="H1" s="5"/>
      <c r="I1" s="5"/>
      <c r="J1" s="5"/>
      <c r="K1" s="5"/>
    </row>
    <row r="2" spans="1:11" x14ac:dyDescent="0.25">
      <c r="A2" s="1" t="s">
        <v>1</v>
      </c>
      <c r="B2" s="3" t="s">
        <v>26</v>
      </c>
      <c r="C2" s="7" t="s">
        <v>64</v>
      </c>
      <c r="D2" s="4">
        <v>1099</v>
      </c>
      <c r="E2" s="5"/>
      <c r="F2" s="5"/>
      <c r="G2" s="5"/>
      <c r="H2" s="5"/>
      <c r="I2" s="5"/>
      <c r="J2" s="5"/>
      <c r="K2" s="5"/>
    </row>
    <row r="3" spans="1:11" ht="30" x14ac:dyDescent="0.25">
      <c r="A3" s="1" t="s">
        <v>20</v>
      </c>
      <c r="B3" s="3" t="s">
        <v>28</v>
      </c>
      <c r="C3" s="7" t="s">
        <v>27</v>
      </c>
      <c r="D3" s="4">
        <v>65.099999999999994</v>
      </c>
      <c r="E3" s="5"/>
      <c r="F3" s="5"/>
      <c r="G3" s="5"/>
      <c r="H3" s="5"/>
      <c r="I3" s="5"/>
      <c r="J3" s="5"/>
      <c r="K3" s="5"/>
    </row>
    <row r="4" spans="1:11" x14ac:dyDescent="0.25">
      <c r="A4" s="1" t="s">
        <v>2</v>
      </c>
      <c r="B4" s="3" t="s">
        <v>45</v>
      </c>
      <c r="C4" s="7" t="s">
        <v>46</v>
      </c>
      <c r="D4" s="4">
        <v>2048.08</v>
      </c>
      <c r="E4" s="5"/>
      <c r="F4" s="5"/>
      <c r="G4" s="5"/>
      <c r="H4" s="5"/>
      <c r="I4" s="5"/>
      <c r="J4" s="5"/>
      <c r="K4" s="5"/>
    </row>
    <row r="5" spans="1:11" x14ac:dyDescent="0.25">
      <c r="A5" s="1" t="s">
        <v>3</v>
      </c>
      <c r="B5" s="3" t="s">
        <v>33</v>
      </c>
      <c r="C5" s="7" t="s">
        <v>47</v>
      </c>
      <c r="D5" s="4">
        <f>461.23+286.96</f>
        <v>748.19</v>
      </c>
      <c r="E5" s="5"/>
      <c r="F5" s="5"/>
      <c r="G5" s="5"/>
      <c r="H5" s="5"/>
      <c r="I5" s="5"/>
      <c r="J5" s="5"/>
      <c r="K5" s="5"/>
    </row>
    <row r="6" spans="1:11" x14ac:dyDescent="0.25">
      <c r="A6" s="1" t="s">
        <v>24</v>
      </c>
      <c r="B6" s="3" t="s">
        <v>55</v>
      </c>
      <c r="C6" s="7" t="s">
        <v>29</v>
      </c>
      <c r="D6" s="4">
        <f>47.82+138.07+61.56+154.75+69.06</f>
        <v>471.26</v>
      </c>
      <c r="E6" s="5"/>
      <c r="F6" s="5"/>
      <c r="G6" s="5"/>
      <c r="H6" s="5"/>
      <c r="I6" s="5"/>
      <c r="J6" s="5"/>
      <c r="K6" s="5"/>
    </row>
    <row r="7" spans="1:11" x14ac:dyDescent="0.25">
      <c r="A7" s="1" t="s">
        <v>18</v>
      </c>
      <c r="B7" s="3" t="s">
        <v>49</v>
      </c>
      <c r="C7" s="7" t="s">
        <v>48</v>
      </c>
      <c r="D7" s="4">
        <f>349.63+183.45</f>
        <v>533.07999999999993</v>
      </c>
      <c r="E7" s="5"/>
      <c r="F7" s="5"/>
      <c r="G7" s="5"/>
      <c r="H7" s="5"/>
      <c r="I7" s="5"/>
      <c r="J7" s="5"/>
      <c r="K7" s="5"/>
    </row>
    <row r="8" spans="1:11" x14ac:dyDescent="0.25">
      <c r="A8" s="1" t="s">
        <v>4</v>
      </c>
      <c r="B8" s="3" t="s">
        <v>17</v>
      </c>
      <c r="C8" s="7" t="s">
        <v>17</v>
      </c>
      <c r="D8" s="4">
        <v>0</v>
      </c>
      <c r="E8" s="5"/>
      <c r="F8" s="5"/>
      <c r="G8" s="5"/>
      <c r="H8" s="5"/>
      <c r="I8" s="5"/>
      <c r="J8" s="5"/>
      <c r="K8" s="5"/>
    </row>
    <row r="9" spans="1:11" x14ac:dyDescent="0.25">
      <c r="A9" s="1" t="s">
        <v>5</v>
      </c>
      <c r="B9" s="3" t="s">
        <v>49</v>
      </c>
      <c r="C9" s="7" t="s">
        <v>17</v>
      </c>
      <c r="D9" s="4">
        <v>0</v>
      </c>
      <c r="E9" s="5"/>
      <c r="F9" s="5"/>
      <c r="G9" s="5"/>
      <c r="H9" s="5"/>
      <c r="I9" s="5"/>
      <c r="J9" s="5"/>
      <c r="K9" s="5"/>
    </row>
    <row r="10" spans="1:11" x14ac:dyDescent="0.25">
      <c r="A10" s="1" t="s">
        <v>6</v>
      </c>
      <c r="B10" s="3" t="s">
        <v>49</v>
      </c>
      <c r="C10" s="7" t="s">
        <v>50</v>
      </c>
      <c r="D10" s="4">
        <f>355.92+189.24</f>
        <v>545.16000000000008</v>
      </c>
      <c r="E10" s="5"/>
      <c r="F10" s="5"/>
      <c r="G10" s="5"/>
      <c r="H10" s="5"/>
      <c r="I10" s="5"/>
      <c r="J10" s="5"/>
      <c r="K10" s="5"/>
    </row>
    <row r="11" spans="1:11" x14ac:dyDescent="0.25">
      <c r="A11" s="1" t="s">
        <v>7</v>
      </c>
      <c r="B11" s="3" t="s">
        <v>34</v>
      </c>
      <c r="C11" s="7" t="s">
        <v>35</v>
      </c>
      <c r="D11" s="4">
        <f>137.16+61.17</f>
        <v>198.32999999999998</v>
      </c>
      <c r="E11" s="5"/>
      <c r="F11" s="5"/>
      <c r="G11" s="5"/>
      <c r="H11" s="5"/>
      <c r="I11" s="5"/>
      <c r="J11" s="5"/>
      <c r="K11" s="5"/>
    </row>
    <row r="12" spans="1:11" x14ac:dyDescent="0.25">
      <c r="A12" s="1" t="s">
        <v>8</v>
      </c>
      <c r="B12" s="3" t="s">
        <v>31</v>
      </c>
      <c r="C12" s="7" t="s">
        <v>30</v>
      </c>
      <c r="D12" s="4">
        <f>110.02+227.78+101.59</f>
        <v>439.39</v>
      </c>
      <c r="E12" s="5"/>
      <c r="F12" s="5"/>
      <c r="G12" s="5"/>
      <c r="H12" s="5"/>
      <c r="I12" s="5"/>
      <c r="J12" s="5"/>
      <c r="K12" s="5"/>
    </row>
    <row r="13" spans="1:11" ht="30" x14ac:dyDescent="0.25">
      <c r="A13" s="1" t="s">
        <v>21</v>
      </c>
      <c r="B13" s="3" t="s">
        <v>32</v>
      </c>
      <c r="C13" s="7" t="s">
        <v>17</v>
      </c>
      <c r="D13" s="4">
        <v>0</v>
      </c>
      <c r="E13" s="5"/>
      <c r="F13" s="5"/>
      <c r="G13" s="5"/>
      <c r="H13" s="5"/>
      <c r="I13" s="5"/>
      <c r="J13" s="5"/>
      <c r="K13" s="5"/>
    </row>
    <row r="14" spans="1:11" x14ac:dyDescent="0.25">
      <c r="A14" s="1" t="s">
        <v>9</v>
      </c>
      <c r="B14" s="3" t="s">
        <v>52</v>
      </c>
      <c r="C14" s="7" t="s">
        <v>51</v>
      </c>
      <c r="D14" s="4">
        <v>419</v>
      </c>
      <c r="E14" s="5"/>
      <c r="F14" s="5"/>
      <c r="G14" s="5"/>
      <c r="H14" s="5"/>
      <c r="I14" s="5"/>
      <c r="J14" s="5"/>
      <c r="K14" s="5"/>
    </row>
    <row r="15" spans="1:11" x14ac:dyDescent="0.25">
      <c r="A15" s="1" t="s">
        <v>10</v>
      </c>
      <c r="B15" s="3" t="s">
        <v>54</v>
      </c>
      <c r="C15" s="7" t="s">
        <v>53</v>
      </c>
      <c r="D15" s="4">
        <f>265.12+118.27+130.63+58.29</f>
        <v>572.30999999999995</v>
      </c>
      <c r="E15" s="5"/>
      <c r="F15" s="5"/>
      <c r="G15" s="5"/>
      <c r="H15" s="5"/>
      <c r="I15" s="5"/>
      <c r="J15" s="5"/>
      <c r="K15" s="5"/>
    </row>
    <row r="16" spans="1:11" x14ac:dyDescent="0.25">
      <c r="A16" s="1" t="s">
        <v>11</v>
      </c>
      <c r="B16" s="3" t="s">
        <v>57</v>
      </c>
      <c r="C16" s="7" t="s">
        <v>56</v>
      </c>
      <c r="D16" s="4">
        <f>5*(60.37+26.99)</f>
        <v>436.8</v>
      </c>
      <c r="E16" s="5"/>
      <c r="F16" s="5"/>
      <c r="G16" s="5"/>
      <c r="H16" s="5"/>
      <c r="I16" s="5"/>
      <c r="J16" s="5"/>
      <c r="K16" s="5"/>
    </row>
    <row r="17" spans="1:11" x14ac:dyDescent="0.25">
      <c r="A17" s="1" t="s">
        <v>12</v>
      </c>
      <c r="B17" s="3" t="s">
        <v>62</v>
      </c>
      <c r="C17" s="7" t="s">
        <v>63</v>
      </c>
      <c r="D17" s="4">
        <v>316.58999999999997</v>
      </c>
      <c r="E17" s="5"/>
      <c r="F17" s="5"/>
      <c r="G17" s="5"/>
      <c r="H17" s="5"/>
      <c r="I17" s="5"/>
      <c r="J17" s="5"/>
      <c r="K17" s="5"/>
    </row>
    <row r="18" spans="1:11" x14ac:dyDescent="0.25">
      <c r="A18" s="1" t="s">
        <v>25</v>
      </c>
      <c r="B18" s="3" t="s">
        <v>36</v>
      </c>
      <c r="C18" s="7" t="s">
        <v>37</v>
      </c>
      <c r="D18" s="4">
        <v>161.5</v>
      </c>
      <c r="E18" s="5"/>
      <c r="F18" s="5"/>
      <c r="G18" s="5"/>
      <c r="H18" s="5"/>
      <c r="I18" s="5"/>
      <c r="J18" s="5"/>
      <c r="K18" s="5"/>
    </row>
    <row r="19" spans="1:11" x14ac:dyDescent="0.25">
      <c r="A19" s="1" t="s">
        <v>13</v>
      </c>
      <c r="B19" s="3" t="s">
        <v>59</v>
      </c>
      <c r="C19" s="7" t="s">
        <v>58</v>
      </c>
      <c r="D19" s="4">
        <v>559</v>
      </c>
      <c r="E19" s="5"/>
      <c r="F19" s="5"/>
      <c r="G19" s="5"/>
      <c r="H19" s="5"/>
      <c r="I19" s="5"/>
      <c r="J19" s="5"/>
      <c r="K19" s="5"/>
    </row>
    <row r="20" spans="1:11" x14ac:dyDescent="0.25">
      <c r="A20" s="1" t="s">
        <v>14</v>
      </c>
      <c r="B20" s="3" t="s">
        <v>39</v>
      </c>
      <c r="C20" s="7" t="s">
        <v>38</v>
      </c>
      <c r="D20" s="4">
        <f>91.58+40.91</f>
        <v>132.49</v>
      </c>
      <c r="E20" s="5"/>
      <c r="F20" s="5"/>
      <c r="G20" s="5"/>
      <c r="H20" s="5"/>
      <c r="I20" s="5"/>
      <c r="J20" s="5"/>
      <c r="K20" s="5"/>
    </row>
    <row r="21" spans="1:11" x14ac:dyDescent="0.25">
      <c r="A21" s="1" t="s">
        <v>44</v>
      </c>
      <c r="B21" s="3" t="s">
        <v>61</v>
      </c>
      <c r="C21" s="7" t="s">
        <v>60</v>
      </c>
      <c r="D21" s="4">
        <v>113.9</v>
      </c>
      <c r="E21" s="5"/>
      <c r="F21" s="5"/>
      <c r="G21" s="5"/>
      <c r="H21" s="5"/>
      <c r="I21" s="5"/>
      <c r="J21" s="5"/>
      <c r="K21" s="5"/>
    </row>
    <row r="22" spans="1:11" x14ac:dyDescent="0.25">
      <c r="A22" s="1" t="s">
        <v>15</v>
      </c>
      <c r="B22" s="3" t="s">
        <v>41</v>
      </c>
      <c r="C22" s="7" t="s">
        <v>40</v>
      </c>
      <c r="D22" s="4">
        <v>674.1</v>
      </c>
      <c r="E22" s="5"/>
      <c r="F22" s="5"/>
      <c r="G22" s="5"/>
      <c r="H22" s="5"/>
      <c r="I22" s="5"/>
      <c r="J22" s="5"/>
      <c r="K22" s="5"/>
    </row>
    <row r="23" spans="1:11" x14ac:dyDescent="0.25">
      <c r="A23" s="1" t="s">
        <v>16</v>
      </c>
      <c r="B23" s="3" t="s">
        <v>43</v>
      </c>
      <c r="C23" s="7" t="s">
        <v>42</v>
      </c>
      <c r="D23" s="4">
        <f>212.39+94.75</f>
        <v>307.14</v>
      </c>
      <c r="E23" s="5"/>
      <c r="F23" s="5"/>
      <c r="G23" s="5"/>
      <c r="H23" s="5"/>
      <c r="I23" s="5"/>
      <c r="J23" s="5"/>
      <c r="K23" s="5"/>
    </row>
    <row r="24" spans="1:11" x14ac:dyDescent="0.25">
      <c r="A24" s="1" t="s">
        <v>19</v>
      </c>
      <c r="B24" s="2"/>
      <c r="C24" s="9"/>
      <c r="D24" s="6">
        <f>SUM(D2:D23)</f>
        <v>9840.42</v>
      </c>
      <c r="E24" s="5"/>
      <c r="F24" s="5"/>
      <c r="G24" s="5"/>
      <c r="H24" s="5"/>
      <c r="I24" s="5"/>
      <c r="J24" s="5"/>
      <c r="K24" s="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Quadros</dc:creator>
  <cp:lastModifiedBy>Júnior Quadros</cp:lastModifiedBy>
  <cp:lastPrinted>2025-07-29T13:48:55Z</cp:lastPrinted>
  <dcterms:created xsi:type="dcterms:W3CDTF">2015-06-05T18:19:34Z</dcterms:created>
  <dcterms:modified xsi:type="dcterms:W3CDTF">2025-08-12T14:31:28Z</dcterms:modified>
</cp:coreProperties>
</file>